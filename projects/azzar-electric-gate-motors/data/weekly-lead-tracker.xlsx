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;($#,##0.00);-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B2A4A"/>
      <sz val="10"/>
    </font>
    <font>
      <name val="Arial"/>
      <b val="1"/>
      <color rgb="001B2A4A"/>
      <sz val="11"/>
    </font>
    <font>
      <name val="Arial"/>
      <color rgb="00808080"/>
      <sz val="9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9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double">
        <color rgb="001B2A4A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6" customWidth="1" min="6" max="6"/>
    <col width="16" customWidth="1" min="7" max="7"/>
    <col width="10" customWidth="1" min="8" max="8"/>
    <col width="12" customWidth="1" min="9" max="9"/>
    <col width="16" customWidth="1" min="10" max="10"/>
    <col width="12" customWidth="1" min="11" max="11"/>
    <col width="16" customWidth="1" min="12" max="12"/>
    <col width="28" customWidth="1" min="13" max="13"/>
  </cols>
  <sheetData>
    <row r="1">
      <c r="A1" s="1" t="inlineStr">
        <is>
          <t>AZZAR ELECTRIC GATE — WEEKLY LEAD TRACKER</t>
        </is>
      </c>
    </row>
    <row r="2">
      <c r="A2" s="2" t="inlineStr">
        <is>
          <t>Fill in the yellow cells each week. Target: 10 hot leads / week minimum (see framework doc for the hot-lead definition).</t>
        </is>
      </c>
    </row>
    <row r="4">
      <c r="A4" s="3" t="inlineStr">
        <is>
          <t>Week Starting</t>
        </is>
      </c>
      <c r="B4" s="3" t="inlineStr">
        <is>
          <t>Raw Leads</t>
        </is>
      </c>
      <c r="C4" s="3" t="inlineStr">
        <is>
          <t>Hot Leads</t>
        </is>
      </c>
      <c r="D4" s="3" t="inlineStr">
        <is>
          <t>Site Visits Booked</t>
        </is>
      </c>
      <c r="E4" s="3" t="inlineStr">
        <is>
          <t>Ad Spend ($)</t>
        </is>
      </c>
      <c r="F4" s="3" t="inlineStr">
        <is>
          <t>Cost per Hot Lead ($)</t>
        </is>
      </c>
      <c r="G4" s="3" t="inlineStr">
        <is>
          <t>Avg Response Time (hrs)</t>
        </is>
      </c>
      <c r="H4" s="3" t="inlineStr">
        <is>
          <t>Leads — Ads</t>
        </is>
      </c>
      <c r="I4" s="3" t="inlineStr">
        <is>
          <t>Leads — WhatsApp</t>
        </is>
      </c>
      <c r="J4" s="3" t="inlineStr">
        <is>
          <t>Leads — Website Organic</t>
        </is>
      </c>
      <c r="K4" s="3" t="inlineStr">
        <is>
          <t>Contracts Won</t>
        </is>
      </c>
      <c r="L4" s="3" t="inlineStr">
        <is>
          <t>Site Visit → Close Rate</t>
        </is>
      </c>
      <c r="M4" s="3" t="inlineStr">
        <is>
          <t>Notes</t>
        </is>
      </c>
    </row>
    <row r="5">
      <c r="A5" s="4" t="inlineStr">
        <is>
          <t>EXAMPLE — delete this row</t>
        </is>
      </c>
      <c r="B5" s="5" t="n">
        <v>14</v>
      </c>
      <c r="C5" s="5" t="n">
        <v>9</v>
      </c>
      <c r="D5" s="5" t="n">
        <v>6</v>
      </c>
      <c r="E5" s="5" t="n">
        <v>150</v>
      </c>
      <c r="F5" s="6">
        <f>IFERROR(E5/C5,"-")</f>
        <v/>
      </c>
      <c r="G5" s="5" t="n">
        <v>3.5</v>
      </c>
      <c r="H5" s="5" t="n">
        <v>9</v>
      </c>
      <c r="I5" s="5" t="n">
        <v>4</v>
      </c>
      <c r="J5" s="5" t="n">
        <v>1</v>
      </c>
      <c r="K5" s="5" t="n">
        <v>1</v>
      </c>
      <c r="L5" s="7">
        <f>IFERROR(K5/D5,"-")</f>
        <v/>
      </c>
      <c r="M5" s="4" t="inlineStr">
        <is>
          <t>First week of testing, Safety angle led</t>
        </is>
      </c>
    </row>
    <row r="6">
      <c r="A6" s="8" t="n"/>
      <c r="B6" s="9" t="n"/>
      <c r="C6" s="9" t="n"/>
      <c r="D6" s="9" t="n"/>
      <c r="E6" s="9" t="n"/>
      <c r="F6" s="10">
        <f>IFERROR(E6/C6,"-")</f>
        <v/>
      </c>
      <c r="G6" s="9" t="n"/>
      <c r="H6" s="9" t="n"/>
      <c r="I6" s="9" t="n"/>
      <c r="J6" s="9" t="n"/>
      <c r="K6" s="9" t="n"/>
      <c r="L6" s="11">
        <f>IFERROR(K6/D6,"-")</f>
        <v/>
      </c>
      <c r="M6" s="8" t="n"/>
    </row>
    <row r="7">
      <c r="A7" s="8" t="n"/>
      <c r="B7" s="9" t="n"/>
      <c r="C7" s="9" t="n"/>
      <c r="D7" s="9" t="n"/>
      <c r="E7" s="9" t="n"/>
      <c r="F7" s="10">
        <f>IFERROR(E7/C7,"-")</f>
        <v/>
      </c>
      <c r="G7" s="9" t="n"/>
      <c r="H7" s="9" t="n"/>
      <c r="I7" s="9" t="n"/>
      <c r="J7" s="9" t="n"/>
      <c r="K7" s="9" t="n"/>
      <c r="L7" s="11">
        <f>IFERROR(K7/D7,"-")</f>
        <v/>
      </c>
      <c r="M7" s="8" t="n"/>
    </row>
    <row r="8">
      <c r="A8" s="8" t="n"/>
      <c r="B8" s="9" t="n"/>
      <c r="C8" s="9" t="n"/>
      <c r="D8" s="9" t="n"/>
      <c r="E8" s="9" t="n"/>
      <c r="F8" s="10">
        <f>IFERROR(E8/C8,"-")</f>
        <v/>
      </c>
      <c r="G8" s="9" t="n"/>
      <c r="H8" s="9" t="n"/>
      <c r="I8" s="9" t="n"/>
      <c r="J8" s="9" t="n"/>
      <c r="K8" s="9" t="n"/>
      <c r="L8" s="11">
        <f>IFERROR(K8/D8,"-")</f>
        <v/>
      </c>
      <c r="M8" s="8" t="n"/>
    </row>
    <row r="9">
      <c r="A9" s="8" t="n"/>
      <c r="B9" s="9" t="n"/>
      <c r="C9" s="9" t="n"/>
      <c r="D9" s="9" t="n"/>
      <c r="E9" s="9" t="n"/>
      <c r="F9" s="10">
        <f>IFERROR(E9/C9,"-")</f>
        <v/>
      </c>
      <c r="G9" s="9" t="n"/>
      <c r="H9" s="9" t="n"/>
      <c r="I9" s="9" t="n"/>
      <c r="J9" s="9" t="n"/>
      <c r="K9" s="9" t="n"/>
      <c r="L9" s="11">
        <f>IFERROR(K9/D9,"-")</f>
        <v/>
      </c>
      <c r="M9" s="8" t="n"/>
    </row>
    <row r="10">
      <c r="A10" s="8" t="n"/>
      <c r="B10" s="9" t="n"/>
      <c r="C10" s="9" t="n"/>
      <c r="D10" s="9" t="n"/>
      <c r="E10" s="9" t="n"/>
      <c r="F10" s="10">
        <f>IFERROR(E10/C10,"-")</f>
        <v/>
      </c>
      <c r="G10" s="9" t="n"/>
      <c r="H10" s="9" t="n"/>
      <c r="I10" s="9" t="n"/>
      <c r="J10" s="9" t="n"/>
      <c r="K10" s="9" t="n"/>
      <c r="L10" s="11">
        <f>IFERROR(K10/D10,"-")</f>
        <v/>
      </c>
      <c r="M10" s="8" t="n"/>
    </row>
    <row r="11">
      <c r="A11" s="8" t="n"/>
      <c r="B11" s="9" t="n"/>
      <c r="C11" s="9" t="n"/>
      <c r="D11" s="9" t="n"/>
      <c r="E11" s="9" t="n"/>
      <c r="F11" s="10">
        <f>IFERROR(E11/C11,"-")</f>
        <v/>
      </c>
      <c r="G11" s="9" t="n"/>
      <c r="H11" s="9" t="n"/>
      <c r="I11" s="9" t="n"/>
      <c r="J11" s="9" t="n"/>
      <c r="K11" s="9" t="n"/>
      <c r="L11" s="11">
        <f>IFERROR(K11/D11,"-")</f>
        <v/>
      </c>
      <c r="M11" s="8" t="n"/>
    </row>
    <row r="12">
      <c r="A12" s="8" t="n"/>
      <c r="B12" s="9" t="n"/>
      <c r="C12" s="9" t="n"/>
      <c r="D12" s="9" t="n"/>
      <c r="E12" s="9" t="n"/>
      <c r="F12" s="10">
        <f>IFERROR(E12/C12,"-")</f>
        <v/>
      </c>
      <c r="G12" s="9" t="n"/>
      <c r="H12" s="9" t="n"/>
      <c r="I12" s="9" t="n"/>
      <c r="J12" s="9" t="n"/>
      <c r="K12" s="9" t="n"/>
      <c r="L12" s="11">
        <f>IFERROR(K12/D12,"-")</f>
        <v/>
      </c>
      <c r="M12" s="8" t="n"/>
    </row>
    <row r="13">
      <c r="A13" s="8" t="n"/>
      <c r="B13" s="9" t="n"/>
      <c r="C13" s="9" t="n"/>
      <c r="D13" s="9" t="n"/>
      <c r="E13" s="9" t="n"/>
      <c r="F13" s="10">
        <f>IFERROR(E13/C13,"-")</f>
        <v/>
      </c>
      <c r="G13" s="9" t="n"/>
      <c r="H13" s="9" t="n"/>
      <c r="I13" s="9" t="n"/>
      <c r="J13" s="9" t="n"/>
      <c r="K13" s="9" t="n"/>
      <c r="L13" s="11">
        <f>IFERROR(K13/D13,"-")</f>
        <v/>
      </c>
      <c r="M13" s="8" t="n"/>
    </row>
    <row r="14">
      <c r="A14" s="8" t="n"/>
      <c r="B14" s="9" t="n"/>
      <c r="C14" s="9" t="n"/>
      <c r="D14" s="9" t="n"/>
      <c r="E14" s="9" t="n"/>
      <c r="F14" s="10">
        <f>IFERROR(E14/C14,"-")</f>
        <v/>
      </c>
      <c r="G14" s="9" t="n"/>
      <c r="H14" s="9" t="n"/>
      <c r="I14" s="9" t="n"/>
      <c r="J14" s="9" t="n"/>
      <c r="K14" s="9" t="n"/>
      <c r="L14" s="11">
        <f>IFERROR(K14/D14,"-")</f>
        <v/>
      </c>
      <c r="M14" s="8" t="n"/>
    </row>
    <row r="15">
      <c r="A15" s="8" t="n"/>
      <c r="B15" s="9" t="n"/>
      <c r="C15" s="9" t="n"/>
      <c r="D15" s="9" t="n"/>
      <c r="E15" s="9" t="n"/>
      <c r="F15" s="10">
        <f>IFERROR(E15/C15,"-")</f>
        <v/>
      </c>
      <c r="G15" s="9" t="n"/>
      <c r="H15" s="9" t="n"/>
      <c r="I15" s="9" t="n"/>
      <c r="J15" s="9" t="n"/>
      <c r="K15" s="9" t="n"/>
      <c r="L15" s="11">
        <f>IFERROR(K15/D15,"-")</f>
        <v/>
      </c>
      <c r="M15" s="8" t="n"/>
    </row>
    <row r="16">
      <c r="A16" s="8" t="n"/>
      <c r="B16" s="9" t="n"/>
      <c r="C16" s="9" t="n"/>
      <c r="D16" s="9" t="n"/>
      <c r="E16" s="9" t="n"/>
      <c r="F16" s="10">
        <f>IFERROR(E16/C16,"-")</f>
        <v/>
      </c>
      <c r="G16" s="9" t="n"/>
      <c r="H16" s="9" t="n"/>
      <c r="I16" s="9" t="n"/>
      <c r="J16" s="9" t="n"/>
      <c r="K16" s="9" t="n"/>
      <c r="L16" s="11">
        <f>IFERROR(K16/D16,"-")</f>
        <v/>
      </c>
      <c r="M16" s="8" t="n"/>
    </row>
    <row r="17">
      <c r="A17" s="8" t="n"/>
      <c r="B17" s="9" t="n"/>
      <c r="C17" s="9" t="n"/>
      <c r="D17" s="9" t="n"/>
      <c r="E17" s="9" t="n"/>
      <c r="F17" s="10">
        <f>IFERROR(E17/C17,"-")</f>
        <v/>
      </c>
      <c r="G17" s="9" t="n"/>
      <c r="H17" s="9" t="n"/>
      <c r="I17" s="9" t="n"/>
      <c r="J17" s="9" t="n"/>
      <c r="K17" s="9" t="n"/>
      <c r="L17" s="11">
        <f>IFERROR(K17/D17,"-")</f>
        <v/>
      </c>
      <c r="M17" s="8" t="n"/>
    </row>
    <row r="19">
      <c r="A19" s="12" t="inlineStr">
        <is>
          <t>TOTAL / AVERAGE</t>
        </is>
      </c>
      <c r="B19" s="13">
        <f>SUM(B6:B17)</f>
        <v/>
      </c>
      <c r="C19" s="13">
        <f>SUM(C6:C17)</f>
        <v/>
      </c>
      <c r="D19" s="13">
        <f>SUM(D6:D17)</f>
        <v/>
      </c>
      <c r="E19" s="13">
        <f>SUM(E6:E17)</f>
        <v/>
      </c>
      <c r="F19" s="14">
        <f>IFERROR(E19/C19,"-")</f>
        <v/>
      </c>
      <c r="G19" s="15">
        <f>IFERROR(AVERAGE(G6:G17),"-")</f>
        <v/>
      </c>
      <c r="H19" s="13">
        <f>SUM(H6:H17)</f>
        <v/>
      </c>
      <c r="I19" s="13">
        <f>SUM(I6:I17)</f>
        <v/>
      </c>
      <c r="J19" s="13">
        <f>SUM(J6:J17)</f>
        <v/>
      </c>
      <c r="K19" s="13">
        <f>SUM(K6:K17)</f>
        <v/>
      </c>
      <c r="L19" s="16">
        <f>IFERROR(K19/D19,"-")</f>
        <v/>
      </c>
      <c r="M19" s="13" t="n"/>
    </row>
    <row r="22">
      <c r="A22" s="17" t="inlineStr">
        <is>
          <t>Legend</t>
        </is>
      </c>
    </row>
    <row r="23">
      <c r="A23" s="18" t="inlineStr">
        <is>
          <t>• Yellow cells = fill in weekly. White formula cells recalculate automatically — do not overwrite.</t>
        </is>
      </c>
    </row>
    <row r="24">
      <c r="A24" s="18" t="inlineStr">
        <is>
          <t>• Hot Lead definition (from the framework doc): real contact info captured + qualification questions completed + active intent expressed.</t>
        </is>
      </c>
    </row>
    <row r="25">
      <c r="A25" s="18" t="inlineStr">
        <is>
          <t>• Raw Leads = every contact captured (ads, landing page, WhatsApp). Hot Leads = the subset meeting the definition above.</t>
        </is>
      </c>
    </row>
    <row r="26">
      <c r="A26" s="18" t="inlineStr">
        <is>
          <t>• Ad Spend / Cost per Hot Lead: pull from Meta Ads Manager for the matching week.</t>
        </is>
      </c>
    </row>
    <row r="27">
      <c r="A27" s="18" t="inlineStr">
        <is>
          <t>• Leads — Ads / WhatsApp / Website Organic: from Brevo LEAD_SOURCE breakdown.</t>
        </is>
      </c>
    </row>
    <row r="28">
      <c r="A28" s="18" t="inlineStr">
        <is>
          <t>• Delete the italic EXAMPLE row before using this sheet for real data.</t>
        </is>
      </c>
    </row>
  </sheetData>
  <mergeCells count="8">
    <mergeCell ref="A1:M1"/>
    <mergeCell ref="A23:M23"/>
    <mergeCell ref="A27:M27"/>
    <mergeCell ref="A26:M26"/>
    <mergeCell ref="A25:M25"/>
    <mergeCell ref="A24:M24"/>
    <mergeCell ref="A2:M2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4" max="4"/>
  </cols>
  <sheetData>
    <row r="1">
      <c r="A1" s="1" t="inlineStr">
        <is>
          <t>CAMPAIGN SUMMARY</t>
        </is>
      </c>
    </row>
    <row r="3">
      <c r="A3" s="19" t="inlineStr">
        <is>
          <t>Total weeks tracked</t>
        </is>
      </c>
      <c r="D3" s="17">
        <f>COUNT('Weekly Tracker'!C6:C17)</f>
        <v/>
      </c>
    </row>
    <row r="4">
      <c r="A4" s="19" t="inlineStr">
        <is>
          <t>Total raw leads</t>
        </is>
      </c>
      <c r="D4" s="17">
        <f>'Weekly Tracker'!B19</f>
        <v/>
      </c>
    </row>
    <row r="5">
      <c r="A5" s="19" t="inlineStr">
        <is>
          <t>Total hot leads</t>
        </is>
      </c>
      <c r="D5" s="17">
        <f>'Weekly Tracker'!C19</f>
        <v/>
      </c>
    </row>
    <row r="6">
      <c r="A6" s="19" t="inlineStr">
        <is>
          <t>Average hot leads / week</t>
        </is>
      </c>
      <c r="D6" s="17">
        <f>IFERROR('Weekly Tracker'!C19/COUNT('Weekly Tracker'!C6:C17),"-")</f>
        <v/>
      </c>
    </row>
    <row r="7">
      <c r="A7" s="19" t="inlineStr">
        <is>
          <t>Target hot leads / week</t>
        </is>
      </c>
      <c r="D7" s="17" t="n">
        <v>10</v>
      </c>
    </row>
    <row r="8">
      <c r="A8" s="19" t="inlineStr">
        <is>
          <t>On track vs. target?</t>
        </is>
      </c>
      <c r="D8" s="17">
        <f>IF(AND(ISNUMBER(D6),D6&gt;=D7),"Yes","No")</f>
        <v/>
      </c>
    </row>
    <row r="9">
      <c r="A9" s="19" t="inlineStr">
        <is>
          <t>Total site visits booked</t>
        </is>
      </c>
      <c r="D9" s="17">
        <f>'Weekly Tracker'!D19</f>
        <v/>
      </c>
    </row>
    <row r="10">
      <c r="A10" s="19" t="inlineStr">
        <is>
          <t>Total contracts won</t>
        </is>
      </c>
      <c r="D10" s="17">
        <f>'Weekly Tracker'!K19</f>
        <v/>
      </c>
    </row>
    <row r="11">
      <c r="A11" s="19" t="inlineStr">
        <is>
          <t>Overall site-visit → close rate</t>
        </is>
      </c>
      <c r="D11" s="17">
        <f>'Weekly Tracker'!L19</f>
        <v/>
      </c>
    </row>
    <row r="12">
      <c r="A12" s="19" t="inlineStr">
        <is>
          <t>Total ad spend ($)</t>
        </is>
      </c>
      <c r="D12" s="20">
        <f>'Weekly Tracker'!E19</f>
        <v/>
      </c>
    </row>
    <row r="13">
      <c r="A13" s="19" t="inlineStr">
        <is>
          <t>Overall cost per hot lead ($)</t>
        </is>
      </c>
      <c r="D13" s="20">
        <f>'Weekly Tracker'!F19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2026-08-10T13:06:22Z</dcterms:created>
  <dcterms:modified xmlns:dcterms="http://purl.org/dc/terms/" xmlns:xsi="http://www.w3.org/2001/XMLSchema-instance" xsi:type="dcterms:W3CDTF">2026-08-10T13:06:22Z</dcterms:modified>
</cp:coreProperties>
</file>